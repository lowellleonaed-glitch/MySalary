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acte\New folder\"/>
    </mc:Choice>
  </mc:AlternateContent>
  <xr:revisionPtr revIDLastSave="0" documentId="13_ncr:1_{5258A154-5432-4B25-B277-B0DE503B6850}" xr6:coauthVersionLast="47" xr6:coauthVersionMax="47" xr10:uidLastSave="{00000000-0000-0000-0000-000000000000}"/>
  <bookViews>
    <workbookView xWindow="-120" yWindow="-120" windowWidth="29040" windowHeight="15720" xr2:uid="{9D38CD7A-51BD-4489-AD5C-ABF6980A9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6" i="1"/>
  <c r="E6" i="1" s="1"/>
  <c r="E4" i="1"/>
  <c r="K13" i="1"/>
  <c r="D8" i="1"/>
  <c r="G8" i="1" s="1"/>
  <c r="D10" i="1"/>
  <c r="G10" i="1" s="1"/>
  <c r="E5" i="1"/>
  <c r="G7" i="1"/>
  <c r="G3" i="1"/>
  <c r="G12" i="1"/>
  <c r="B3" i="1"/>
  <c r="B6" i="1" s="1"/>
  <c r="D9" i="1" l="1"/>
  <c r="G9" i="1" s="1"/>
  <c r="G11" i="1"/>
  <c r="G6" i="1"/>
  <c r="B4" i="1"/>
  <c r="G4" i="1" s="1"/>
  <c r="B5" i="1"/>
  <c r="G5" i="1" s="1"/>
  <c r="G16" i="1" l="1"/>
  <c r="K14" i="1" s="1"/>
</calcChain>
</file>

<file path=xl/sharedStrings.xml><?xml version="1.0" encoding="utf-8"?>
<sst xmlns="http://schemas.openxmlformats.org/spreadsheetml/2006/main" count="87" uniqueCount="37">
  <si>
    <t>บาท</t>
  </si>
  <si>
    <t>จำนวน</t>
  </si>
  <si>
    <t>วัน</t>
  </si>
  <si>
    <t>ฐานเงินเดือน</t>
  </si>
  <si>
    <t>รายวัน</t>
  </si>
  <si>
    <t>โอที จ-ศ</t>
  </si>
  <si>
    <t xml:space="preserve">โอที ส-อท </t>
  </si>
  <si>
    <t>จำนวนวันที่ทำ</t>
  </si>
  <si>
    <t>ช.ม</t>
  </si>
  <si>
    <t>จำนวนเงินที่ทำ</t>
  </si>
  <si>
    <t>ค่าอาหารเช้า</t>
  </si>
  <si>
    <t>ค่าอาหารโอที</t>
  </si>
  <si>
    <t>ค่าเดินทาง</t>
  </si>
  <si>
    <t>ค่ากะ</t>
  </si>
  <si>
    <t>ค่าเช้าบ้าน</t>
  </si>
  <si>
    <t>เบี้ยขยัน</t>
  </si>
  <si>
    <t>ค่าเป้า</t>
  </si>
  <si>
    <t>รวมรายรับ</t>
  </si>
  <si>
    <t>รายการ</t>
  </si>
  <si>
    <t>ค่ารถ</t>
  </si>
  <si>
    <t>ค่าน้ำมัน</t>
  </si>
  <si>
    <t>ค่าไฟ</t>
  </si>
  <si>
    <t>ค่ากิน</t>
  </si>
  <si>
    <t>รวมค่าใช้จ่าย</t>
  </si>
  <si>
    <t>เหลือใช้</t>
  </si>
  <si>
    <t>เงินเก็บ</t>
  </si>
  <si>
    <t>เดือน</t>
  </si>
  <si>
    <t>ประกันสังคม</t>
  </si>
  <si>
    <t>โบนัสประจำปี</t>
  </si>
  <si>
    <t>ค่าใช้จ่ายเพื่มเติม</t>
  </si>
  <si>
    <t>ค่าเน็ต</t>
  </si>
  <si>
    <t>ค่า Insentive</t>
  </si>
  <si>
    <t>เงินให้แม่กับพ่อ</t>
  </si>
  <si>
    <t>ค่าใช้จ่ายต่อเดือน</t>
  </si>
  <si>
    <t>เงินเดือน</t>
  </si>
  <si>
    <t>ของใช้ส่วนตัว</t>
  </si>
  <si>
    <t>8 ช.ม เช้า ส-อท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</si>
</sst>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8" borderId="1" xfId="1" applyFont="1" applyFill="1" applyBorder="1" applyAlignment="1">
      <alignment horizontal="center" vertical="center"/>
    </xf>
    <xf numFmtId="44" fontId="2" fillId="0" borderId="1" xfId="2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2" fillId="0" borderId="1" xfId="1" applyFont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4B22-6968-4EA6-A387-838C532EF223}">
  <dimension ref="A1:L16"/>
  <sheetViews>
    <sheetView tabSelected="1" workbookViewId="0">
      <selection activeCell="G20" sqref="G20"/>
    </sheetView>
  </sheetViews>
  <sheetFormatPr defaultColWidth="15.7109375" defaultRowHeight="24.95" customHeight="1" x14ac:dyDescent="0.25"/>
  <cols>
    <col min="1" max="1" width="20.28515625" style="2" customWidth="1"/>
    <col min="2" max="2" width="16" style="2" bestFit="1" customWidth="1"/>
    <col min="3" max="3" width="7.140625" style="2" customWidth="1"/>
    <col min="4" max="4" width="18.28515625" style="2" customWidth="1"/>
    <col min="5" max="5" width="6.85546875" style="2" customWidth="1"/>
    <col min="6" max="6" width="5.42578125" style="2" customWidth="1"/>
    <col min="7" max="7" width="18.140625" style="2" customWidth="1"/>
    <col min="8" max="8" width="6.7109375" style="2" customWidth="1"/>
    <col min="9" max="9" width="6.140625" style="2" customWidth="1"/>
    <col min="10" max="10" width="19.85546875" style="2" customWidth="1"/>
    <col min="11" max="11" width="16" style="2" bestFit="1" customWidth="1"/>
    <col min="12" max="12" width="7.7109375" style="2" customWidth="1"/>
    <col min="13" max="13" width="5.85546875" style="2" customWidth="1"/>
    <col min="14" max="16384" width="15.7109375" style="2"/>
  </cols>
  <sheetData>
    <row r="1" spans="1:12" ht="24.95" customHeight="1" x14ac:dyDescent="0.25">
      <c r="A1" s="16" t="s">
        <v>34</v>
      </c>
      <c r="B1" s="16"/>
      <c r="C1" s="16"/>
      <c r="D1" s="16"/>
      <c r="E1" s="16"/>
      <c r="F1" s="16"/>
      <c r="G1" s="16"/>
      <c r="H1" s="16"/>
      <c r="J1" s="16" t="s">
        <v>33</v>
      </c>
      <c r="K1" s="16"/>
      <c r="L1" s="16"/>
    </row>
    <row r="2" spans="1:12" ht="24.95" customHeight="1" x14ac:dyDescent="0.25">
      <c r="A2" s="1" t="s">
        <v>3</v>
      </c>
      <c r="B2" s="3">
        <v>12500</v>
      </c>
      <c r="C2" s="1" t="s">
        <v>0</v>
      </c>
      <c r="D2" s="1" t="s">
        <v>7</v>
      </c>
      <c r="E2" s="1">
        <v>30</v>
      </c>
      <c r="F2" s="1" t="s">
        <v>2</v>
      </c>
      <c r="G2" s="1" t="s">
        <v>9</v>
      </c>
      <c r="H2" s="1" t="s">
        <v>0</v>
      </c>
      <c r="J2" s="1" t="s">
        <v>18</v>
      </c>
      <c r="K2" s="1" t="s">
        <v>1</v>
      </c>
      <c r="L2" s="1" t="s">
        <v>0</v>
      </c>
    </row>
    <row r="3" spans="1:12" ht="24.95" customHeight="1" x14ac:dyDescent="0.25">
      <c r="A3" s="1" t="s">
        <v>4</v>
      </c>
      <c r="B3" s="4">
        <f>SUM(B2/E2)</f>
        <v>416.66666666666669</v>
      </c>
      <c r="C3" s="1" t="s">
        <v>0</v>
      </c>
      <c r="D3" s="15">
        <v>25</v>
      </c>
      <c r="E3" s="1"/>
      <c r="F3" s="1" t="s">
        <v>2</v>
      </c>
      <c r="G3" s="6">
        <f>B2</f>
        <v>12500</v>
      </c>
      <c r="H3" s="1" t="s">
        <v>0</v>
      </c>
      <c r="J3" s="7" t="s">
        <v>19</v>
      </c>
      <c r="K3" s="6">
        <v>8353</v>
      </c>
      <c r="L3" s="1" t="s">
        <v>0</v>
      </c>
    </row>
    <row r="4" spans="1:12" ht="24.95" customHeight="1" x14ac:dyDescent="0.25">
      <c r="A4" s="7" t="s">
        <v>5</v>
      </c>
      <c r="B4" s="6">
        <f>SUM(B3/8*1.5)</f>
        <v>78.125</v>
      </c>
      <c r="C4" s="1" t="s">
        <v>0</v>
      </c>
      <c r="D4" s="8">
        <v>16</v>
      </c>
      <c r="E4" s="9">
        <f>SUM(D4*2.5)</f>
        <v>40</v>
      </c>
      <c r="F4" s="1" t="s">
        <v>8</v>
      </c>
      <c r="G4" s="6">
        <f>SUM(E4*B4)</f>
        <v>3125</v>
      </c>
      <c r="H4" s="1" t="s">
        <v>0</v>
      </c>
      <c r="J4" s="7" t="s">
        <v>20</v>
      </c>
      <c r="K4" s="6">
        <v>800</v>
      </c>
      <c r="L4" s="1" t="s">
        <v>0</v>
      </c>
    </row>
    <row r="5" spans="1:12" ht="24.95" customHeight="1" x14ac:dyDescent="0.25">
      <c r="A5" s="7" t="s">
        <v>36</v>
      </c>
      <c r="B5" s="6">
        <f>SUM(B3/8*1)</f>
        <v>52.083333333333336</v>
      </c>
      <c r="C5" s="1" t="s">
        <v>0</v>
      </c>
      <c r="D5" s="10">
        <v>6</v>
      </c>
      <c r="E5" s="1">
        <f>SUM(D5*8)</f>
        <v>48</v>
      </c>
      <c r="F5" s="1" t="s">
        <v>8</v>
      </c>
      <c r="G5" s="6">
        <f t="shared" ref="G5:G6" si="0">SUM(E5*B5)</f>
        <v>2500</v>
      </c>
      <c r="H5" s="1" t="s">
        <v>0</v>
      </c>
      <c r="J5" s="7" t="s">
        <v>21</v>
      </c>
      <c r="K5" s="6">
        <v>0</v>
      </c>
      <c r="L5" s="1" t="s">
        <v>0</v>
      </c>
    </row>
    <row r="6" spans="1:12" ht="24.95" customHeight="1" x14ac:dyDescent="0.25">
      <c r="A6" s="7" t="s">
        <v>6</v>
      </c>
      <c r="B6" s="6">
        <f>SUM(B3/8*3)</f>
        <v>156.25</v>
      </c>
      <c r="C6" s="1" t="s">
        <v>0</v>
      </c>
      <c r="D6" s="11">
        <f>D5</f>
        <v>6</v>
      </c>
      <c r="E6" s="1">
        <f>SUM(D6*2.5)</f>
        <v>15</v>
      </c>
      <c r="F6" s="1" t="s">
        <v>8</v>
      </c>
      <c r="G6" s="6">
        <f t="shared" si="0"/>
        <v>2343.75</v>
      </c>
      <c r="H6" s="1" t="s">
        <v>0</v>
      </c>
      <c r="J6" s="7" t="s">
        <v>22</v>
      </c>
      <c r="K6" s="6">
        <v>3000</v>
      </c>
      <c r="L6" s="1" t="s">
        <v>0</v>
      </c>
    </row>
    <row r="7" spans="1:12" ht="24.95" customHeight="1" x14ac:dyDescent="0.25">
      <c r="A7" s="7" t="s">
        <v>13</v>
      </c>
      <c r="B7" s="6">
        <v>100</v>
      </c>
      <c r="C7" s="1" t="s">
        <v>0</v>
      </c>
      <c r="D7" s="12">
        <v>0</v>
      </c>
      <c r="E7" s="1"/>
      <c r="F7" s="1" t="s">
        <v>2</v>
      </c>
      <c r="G7" s="6">
        <f>D7*B7</f>
        <v>0</v>
      </c>
      <c r="H7" s="1" t="s">
        <v>0</v>
      </c>
      <c r="J7" s="7" t="s">
        <v>30</v>
      </c>
      <c r="K7" s="6">
        <v>600</v>
      </c>
      <c r="L7" s="1" t="s">
        <v>0</v>
      </c>
    </row>
    <row r="8" spans="1:12" ht="24.95" customHeight="1" x14ac:dyDescent="0.25">
      <c r="A8" s="7" t="s">
        <v>10</v>
      </c>
      <c r="B8" s="6">
        <v>60</v>
      </c>
      <c r="C8" s="1" t="s">
        <v>0</v>
      </c>
      <c r="D8" s="1">
        <f>D3</f>
        <v>25</v>
      </c>
      <c r="E8" s="1"/>
      <c r="F8" s="1" t="s">
        <v>2</v>
      </c>
      <c r="G8" s="6">
        <f>SUM(D8*B8)</f>
        <v>1500</v>
      </c>
      <c r="H8" s="1" t="s">
        <v>0</v>
      </c>
      <c r="J8" s="7" t="s">
        <v>25</v>
      </c>
      <c r="K8" s="6">
        <v>0</v>
      </c>
      <c r="L8" s="1" t="s">
        <v>0</v>
      </c>
    </row>
    <row r="9" spans="1:12" ht="24.95" customHeight="1" x14ac:dyDescent="0.25">
      <c r="A9" s="7" t="s">
        <v>11</v>
      </c>
      <c r="B9" s="6">
        <v>60</v>
      </c>
      <c r="C9" s="1" t="s">
        <v>0</v>
      </c>
      <c r="D9" s="5">
        <f>D4+D6</f>
        <v>22</v>
      </c>
      <c r="E9" s="1"/>
      <c r="F9" s="1" t="s">
        <v>2</v>
      </c>
      <c r="G9" s="6">
        <f t="shared" ref="G9:G10" si="1">SUM(D9*B9)</f>
        <v>1320</v>
      </c>
      <c r="H9" s="1" t="s">
        <v>0</v>
      </c>
      <c r="J9" s="7" t="s">
        <v>32</v>
      </c>
      <c r="K9" s="6">
        <v>0</v>
      </c>
      <c r="L9" s="1" t="s">
        <v>0</v>
      </c>
    </row>
    <row r="10" spans="1:12" ht="24.95" customHeight="1" x14ac:dyDescent="0.25">
      <c r="A10" s="7" t="s">
        <v>12</v>
      </c>
      <c r="B10" s="6">
        <v>105</v>
      </c>
      <c r="C10" s="1" t="s">
        <v>0</v>
      </c>
      <c r="D10" s="1">
        <f>D3</f>
        <v>25</v>
      </c>
      <c r="E10" s="1"/>
      <c r="F10" s="1" t="s">
        <v>2</v>
      </c>
      <c r="G10" s="6">
        <f t="shared" si="1"/>
        <v>2625</v>
      </c>
      <c r="H10" s="1" t="s">
        <v>0</v>
      </c>
      <c r="J10" s="7" t="s">
        <v>27</v>
      </c>
      <c r="K10" s="6">
        <v>1300</v>
      </c>
      <c r="L10" s="1" t="s">
        <v>0</v>
      </c>
    </row>
    <row r="11" spans="1:12" ht="24.95" customHeight="1" x14ac:dyDescent="0.25">
      <c r="A11" s="7" t="s">
        <v>16</v>
      </c>
      <c r="B11" s="6">
        <v>100</v>
      </c>
      <c r="C11" s="1" t="s">
        <v>0</v>
      </c>
      <c r="D11" s="5">
        <f>D3</f>
        <v>25</v>
      </c>
      <c r="E11" s="1"/>
      <c r="F11" s="1" t="s">
        <v>2</v>
      </c>
      <c r="G11" s="6">
        <f>SUM(D11*B11)</f>
        <v>2500</v>
      </c>
      <c r="H11" s="1" t="s">
        <v>0</v>
      </c>
      <c r="J11" s="7" t="s">
        <v>35</v>
      </c>
      <c r="K11" s="6">
        <v>0</v>
      </c>
      <c r="L11" s="1" t="s">
        <v>0</v>
      </c>
    </row>
    <row r="12" spans="1:12" ht="24.95" customHeight="1" x14ac:dyDescent="0.25">
      <c r="A12" s="7" t="s">
        <v>14</v>
      </c>
      <c r="B12" s="6">
        <v>2000</v>
      </c>
      <c r="C12" s="1" t="s">
        <v>0</v>
      </c>
      <c r="D12" s="17" t="s">
        <v>26</v>
      </c>
      <c r="E12" s="18"/>
      <c r="F12" s="19"/>
      <c r="G12" s="6">
        <f>B12</f>
        <v>2000</v>
      </c>
      <c r="H12" s="1" t="s">
        <v>0</v>
      </c>
      <c r="J12" s="7" t="s">
        <v>29</v>
      </c>
      <c r="K12" s="6">
        <v>0</v>
      </c>
      <c r="L12" s="1" t="s">
        <v>0</v>
      </c>
    </row>
    <row r="13" spans="1:12" ht="24.95" customHeight="1" x14ac:dyDescent="0.25">
      <c r="A13" s="7" t="s">
        <v>15</v>
      </c>
      <c r="B13" s="6">
        <v>1200</v>
      </c>
      <c r="C13" s="1" t="s">
        <v>0</v>
      </c>
      <c r="D13" s="17" t="s">
        <v>26</v>
      </c>
      <c r="E13" s="18"/>
      <c r="F13" s="19"/>
      <c r="G13" s="6">
        <v>1200</v>
      </c>
      <c r="H13" s="1" t="s">
        <v>0</v>
      </c>
      <c r="J13" s="7" t="s">
        <v>23</v>
      </c>
      <c r="K13" s="6">
        <f>SUM(K3:K12)</f>
        <v>14053</v>
      </c>
      <c r="L13" s="1" t="s">
        <v>0</v>
      </c>
    </row>
    <row r="14" spans="1:12" ht="24.95" customHeight="1" x14ac:dyDescent="0.25">
      <c r="A14" s="7" t="s">
        <v>31</v>
      </c>
      <c r="B14" s="6">
        <v>1200</v>
      </c>
      <c r="C14" s="1" t="s">
        <v>0</v>
      </c>
      <c r="D14" s="20" t="s">
        <v>26</v>
      </c>
      <c r="E14" s="21"/>
      <c r="F14" s="22"/>
      <c r="G14" s="6">
        <v>1200</v>
      </c>
      <c r="H14" s="1" t="s">
        <v>0</v>
      </c>
      <c r="J14" s="7" t="s">
        <v>24</v>
      </c>
      <c r="K14" s="13">
        <f>G16-K13</f>
        <v>18760.75</v>
      </c>
      <c r="L14" s="1" t="s">
        <v>0</v>
      </c>
    </row>
    <row r="15" spans="1:12" ht="24.95" customHeight="1" x14ac:dyDescent="0.25">
      <c r="A15" s="17" t="s">
        <v>28</v>
      </c>
      <c r="B15" s="18"/>
      <c r="C15" s="18"/>
      <c r="D15" s="18"/>
      <c r="E15" s="18"/>
      <c r="F15" s="19"/>
      <c r="G15" s="14">
        <v>0</v>
      </c>
      <c r="H15" s="1" t="s">
        <v>0</v>
      </c>
    </row>
    <row r="16" spans="1:12" ht="24.95" customHeight="1" x14ac:dyDescent="0.25">
      <c r="A16" s="17" t="s">
        <v>17</v>
      </c>
      <c r="B16" s="18"/>
      <c r="C16" s="18"/>
      <c r="D16" s="18"/>
      <c r="E16" s="18"/>
      <c r="F16" s="19"/>
      <c r="G16" s="13">
        <f>SUM(G3:G15)</f>
        <v>32813.75</v>
      </c>
      <c r="H16" s="1" t="s">
        <v>0</v>
      </c>
    </row>
  </sheetData>
  <mergeCells count="7">
    <mergeCell ref="J1:L1"/>
    <mergeCell ref="A1:H1"/>
    <mergeCell ref="A16:F16"/>
    <mergeCell ref="A15:F15"/>
    <mergeCell ref="D12:F12"/>
    <mergeCell ref="D13:F13"/>
    <mergeCell ref="D14:F14"/>
  </mergeCells>
  <pageMargins left="0.7" right="0.7" top="0.75" bottom="0.75" header="0.3" footer="0.3"/>
  <pageSetup orientation="portrait" horizontalDpi="1200" verticalDpi="1200" r:id="rId1"/>
  <ignoredErrors>
    <ignoredError sqref="E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Chawan Khomdang</cp:lastModifiedBy>
  <dcterms:created xsi:type="dcterms:W3CDTF">2022-09-18T12:01:51Z</dcterms:created>
  <dcterms:modified xsi:type="dcterms:W3CDTF">2026-05-18T17:23:52Z</dcterms:modified>
</cp:coreProperties>
</file>